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1 - Formulas" sheetId="2" state="visible" r:id="rId4"/>
    <sheet name="2 - Summarize" sheetId="3" state="visible" r:id="rId5"/>
    <sheet name="3 - Charts" sheetId="4" state="visible" r:id="rId6"/>
    <sheet name="4 - Pivot Practice" sheetId="5" state="visible" r:id="rId7"/>
    <sheet name="5 - Data Cleaning" sheetId="6" state="visible" r:id="rId8"/>
    <sheet name="6 - Reconciliation" sheetId="7" state="visible" r:id="rId9"/>
    <sheet name="7 - Forecast"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<sst xmlns="http://schemas.openxmlformats.org/spreadsheetml/2006/main" count="267" uniqueCount="165">
  <si>
    <t xml:space="preserve">Copilot in Excel — Practice File</t>
  </si>
  <si>
    <t xml:space="preserve">Companion file for Subu Data Labs, Excel Course Part 7</t>
  </si>
  <si>
    <t xml:space="preserve">How to use this file</t>
  </si>
  <si>
    <t xml:space="preserve">Each tab below matches one use case from the blog post. Open Copilot in Excel on that tab and try the exact prompt shown here. Compare what Copilot builds against the reference formulas already on the sheet.</t>
  </si>
  <si>
    <t xml:space="preserve">Tab</t>
  </si>
  <si>
    <t xml:space="preserve">Use Case</t>
  </si>
  <si>
    <t xml:space="preserve">Try This Prompt In Copilot</t>
  </si>
  <si>
    <t xml:space="preserve">1 - Formulas</t>
  </si>
  <si>
    <t xml:space="preserve">Flag overdue invoices</t>
  </si>
  <si>
    <t xml:space="preserve">Add a column that flags invoices overdue by more than 30 days based on the Due Date column</t>
  </si>
  <si>
    <t xml:space="preserve">2 - Summarize</t>
  </si>
  <si>
    <t xml:space="preserve">One-line report before a meeting</t>
  </si>
  <si>
    <t xml:space="preserve">Summarize the three biggest expense categories this quarter</t>
  </si>
  <si>
    <t xml:space="preserve">3 - Charts</t>
  </si>
  <si>
    <t xml:space="preserve">Compare two regions</t>
  </si>
  <si>
    <t xml:space="preserve">Create a chart comparing North Zone and South Zone sales by month</t>
  </si>
  <si>
    <t xml:space="preserve">4 - Pivot Practice</t>
  </si>
  <si>
    <t xml:space="preserve">Monthly category summary</t>
  </si>
  <si>
    <t xml:space="preserve">Build a Pivot Table summarizing this data by month and category</t>
  </si>
  <si>
    <t xml:space="preserve">5 - Data Cleaning</t>
  </si>
  <si>
    <t xml:space="preserve">Fix a messy vendor list</t>
  </si>
  <si>
    <t xml:space="preserve">Find and highlight any duplicate rows based on Vendor Name</t>
  </si>
  <si>
    <t xml:space="preserve">6 - Reconciliation</t>
  </si>
  <si>
    <t xml:space="preserve">Match ledger against statement</t>
  </si>
  <si>
    <t xml:space="preserve">Compare Our Ledger and Vendor Statement and list any entries that don't match</t>
  </si>
  <si>
    <t xml:space="preserve">7 - Forecast</t>
  </si>
  <si>
    <t xml:space="preserve">Simple sales forecast</t>
  </si>
  <si>
    <t xml:space="preserve">Write a Python formula to forecast next month's sales based on this trend</t>
  </si>
  <si>
    <t xml:space="preserve">Note: cells shaded light orange are reference formulas — they show the 'correct' answer so you can check Copilot's work. They are not something Copilot needs to build; they're already here for you.</t>
  </si>
  <si>
    <t xml:space="preserve">Use Case 1 — Flag Overdue Invoices</t>
  </si>
  <si>
    <t xml:space="preserve">Try: "Add a column that flags invoices overdue by more than 30 days based on the Due Date column"</t>
  </si>
  <si>
    <t xml:space="preserve">Invoice No</t>
  </si>
  <si>
    <t xml:space="preserve">Vendor Name</t>
  </si>
  <si>
    <t xml:space="preserve">Invoice Date</t>
  </si>
  <si>
    <t xml:space="preserve">Due Date</t>
  </si>
  <si>
    <t xml:space="preserve">Amount (INR)</t>
  </si>
  <si>
    <t xml:space="preserve">Days Overdue (reference)</t>
  </si>
  <si>
    <t xml:space="preserve">Status (reference)</t>
  </si>
  <si>
    <t xml:space="preserve">INV-1001</t>
  </si>
  <si>
    <t xml:space="preserve">Shree Balaji Traders</t>
  </si>
  <si>
    <t xml:space="preserve">INV-1002</t>
  </si>
  <si>
    <t xml:space="preserve">Om Enterprises</t>
  </si>
  <si>
    <t xml:space="preserve">INV-1003</t>
  </si>
  <si>
    <t xml:space="preserve">Kavya Stationers</t>
  </si>
  <si>
    <t xml:space="preserve">INV-1004</t>
  </si>
  <si>
    <t xml:space="preserve">Ganesh Facility Services</t>
  </si>
  <si>
    <t xml:space="preserve">INV-1005</t>
  </si>
  <si>
    <t xml:space="preserve">Metro Office Supplies</t>
  </si>
  <si>
    <t xml:space="preserve">INV-1006</t>
  </si>
  <si>
    <t xml:space="preserve">Sai Caterers</t>
  </si>
  <si>
    <t xml:space="preserve">INV-1007</t>
  </si>
  <si>
    <t xml:space="preserve">Rajlaxmi Logistics</t>
  </si>
  <si>
    <t xml:space="preserve">INV-1008</t>
  </si>
  <si>
    <t xml:space="preserve">Unity Housekeeping Co</t>
  </si>
  <si>
    <t xml:space="preserve">INV-1009</t>
  </si>
  <si>
    <t xml:space="preserve">Prime Security Services</t>
  </si>
  <si>
    <t xml:space="preserve">INV-1010</t>
  </si>
  <si>
    <t xml:space="preserve">Anand Printers</t>
  </si>
  <si>
    <t xml:space="preserve">INV-1011</t>
  </si>
  <si>
    <t xml:space="preserve">Vishal Electricals</t>
  </si>
  <si>
    <t xml:space="preserve">INV-1012</t>
  </si>
  <si>
    <t xml:space="preserve">Modern Pantry Supplies</t>
  </si>
  <si>
    <t xml:space="preserve">Use Case 2 — Quick Summary Before a Meeting</t>
  </si>
  <si>
    <t xml:space="preserve">Try: "Summarize the three biggest expense categories this quarter"</t>
  </si>
  <si>
    <t xml:space="preserve">Date</t>
  </si>
  <si>
    <t xml:space="preserve">Category</t>
  </si>
  <si>
    <t xml:space="preserve">Description</t>
  </si>
  <si>
    <t xml:space="preserve">Rent</t>
  </si>
  <si>
    <t xml:space="preserve">Office rent - July</t>
  </si>
  <si>
    <t xml:space="preserve">Salaries</t>
  </si>
  <si>
    <t xml:space="preserve">Staff salary - July</t>
  </si>
  <si>
    <t xml:space="preserve">Utilities</t>
  </si>
  <si>
    <t xml:space="preserve">Electricity bill</t>
  </si>
  <si>
    <t xml:space="preserve">Travel</t>
  </si>
  <si>
    <t xml:space="preserve">Client visit - Pune</t>
  </si>
  <si>
    <t xml:space="preserve">Office Supplies</t>
  </si>
  <si>
    <t xml:space="preserve">Stationery restock</t>
  </si>
  <si>
    <t xml:space="preserve">Marketing</t>
  </si>
  <si>
    <t xml:space="preserve">LinkedIn ads</t>
  </si>
  <si>
    <t xml:space="preserve">Office rent - August</t>
  </si>
  <si>
    <t xml:space="preserve">Staff salary - August</t>
  </si>
  <si>
    <t xml:space="preserve">Internet &amp; phone</t>
  </si>
  <si>
    <t xml:space="preserve">Vendor visit - Nashik</t>
  </si>
  <si>
    <t xml:space="preserve">Printer cartridges</t>
  </si>
  <si>
    <t xml:space="preserve">Google Ads</t>
  </si>
  <si>
    <t xml:space="preserve">Office rent - September</t>
  </si>
  <si>
    <t xml:space="preserve">Staff salary - September</t>
  </si>
  <si>
    <t xml:space="preserve">Reference Summary (by category)</t>
  </si>
  <si>
    <t xml:space="preserve">Total (INR)</t>
  </si>
  <si>
    <t xml:space="preserve">Use Case 3 — Compare Two Regions</t>
  </si>
  <si>
    <t xml:space="preserve">Try: "Create a chart comparing North Zone and South Zone sales by month"</t>
  </si>
  <si>
    <t xml:space="preserve">Month</t>
  </si>
  <si>
    <t xml:space="preserve">North Zone</t>
  </si>
  <si>
    <t xml:space="preserve">South Zone</t>
  </si>
  <si>
    <t xml:space="preserve">East Zone</t>
  </si>
  <si>
    <t xml:space="preserve">West Zone</t>
  </si>
  <si>
    <t xml:space="preserve">Apr-26</t>
  </si>
  <si>
    <t xml:space="preserve">May-26</t>
  </si>
  <si>
    <t xml:space="preserve">Jun-26</t>
  </si>
  <si>
    <t xml:space="preserve">Jul-26</t>
  </si>
  <si>
    <t xml:space="preserve">Aug-26</t>
  </si>
  <si>
    <t xml:space="preserve">Sep-26</t>
  </si>
  <si>
    <t xml:space="preserve">Use Case 4 — Monthly Category Summary</t>
  </si>
  <si>
    <t xml:space="preserve">Try: "Build a Pivot Table summarizing this data by month and category"</t>
  </si>
  <si>
    <t xml:space="preserve">Facility</t>
  </si>
  <si>
    <t xml:space="preserve">IT</t>
  </si>
  <si>
    <t xml:space="preserve">Admin</t>
  </si>
  <si>
    <t xml:space="preserve">Reference Answer — your Pivot Table should look like this shape</t>
  </si>
  <si>
    <t xml:space="preserve">Jun-2026</t>
  </si>
  <si>
    <t xml:space="preserve">Jul-2026</t>
  </si>
  <si>
    <t xml:space="preserve">Aug-2026</t>
  </si>
  <si>
    <t xml:space="preserve">Sep-2026</t>
  </si>
  <si>
    <t xml:space="preserve">Use Case 5 — Fix a Messy Vendor List</t>
  </si>
  <si>
    <t xml:space="preserve">Try: "Find and highlight any duplicate rows based on Vendor Name"</t>
  </si>
  <si>
    <t xml:space="preserve">Vendor Name (messy)</t>
  </si>
  <si>
    <t xml:space="preserve">Vendor Code</t>
  </si>
  <si>
    <t xml:space="preserve">City</t>
  </si>
  <si>
    <t xml:space="preserve">Cleaned Name (reference)</t>
  </si>
  <si>
    <t xml:space="preserve">VEN-01</t>
  </si>
  <si>
    <t xml:space="preserve">Pune</t>
  </si>
  <si>
    <t xml:space="preserve">shree balaji traders </t>
  </si>
  <si>
    <t xml:space="preserve">SHREE BALAJI TRADERS</t>
  </si>
  <si>
    <t xml:space="preserve">VEN-02</t>
  </si>
  <si>
    <t xml:space="preserve">Mumbai</t>
  </si>
  <si>
    <t xml:space="preserve"> Om Enterprises</t>
  </si>
  <si>
    <t xml:space="preserve">VEN-03</t>
  </si>
  <si>
    <t xml:space="preserve">Nashik</t>
  </si>
  <si>
    <t xml:space="preserve">VEN-04</t>
  </si>
  <si>
    <t xml:space="preserve">ganesh facility services</t>
  </si>
  <si>
    <t xml:space="preserve">VEN-05</t>
  </si>
  <si>
    <t xml:space="preserve">VEN-06</t>
  </si>
  <si>
    <t xml:space="preserve">sai caterers </t>
  </si>
  <si>
    <t xml:space="preserve">VEN-07</t>
  </si>
  <si>
    <t xml:space="preserve">Nagpur</t>
  </si>
  <si>
    <t xml:space="preserve">VEN-08</t>
  </si>
  <si>
    <t xml:space="preserve">VEN-09</t>
  </si>
  <si>
    <t xml:space="preserve">prime security services</t>
  </si>
  <si>
    <t xml:space="preserve">VEN-10</t>
  </si>
  <si>
    <t xml:space="preserve">Note: rows with the same Vendor Code are the true duplicates here, even though the raw text looks different (spacing/capitalization).</t>
  </si>
  <si>
    <t xml:space="preserve">Use Case 6 — Match Ledger Against Statement</t>
  </si>
  <si>
    <t xml:space="preserve">Try: "Compare Our Ledger and Vendor Statement and list any entries that don't match"</t>
  </si>
  <si>
    <t xml:space="preserve">Our Ledger</t>
  </si>
  <si>
    <t xml:space="preserve">Vendor Statement</t>
  </si>
  <si>
    <t xml:space="preserve">Vendor</t>
  </si>
  <si>
    <t xml:space="preserve">Match Check (reference)</t>
  </si>
  <si>
    <t xml:space="preserve">INV-2001</t>
  </si>
  <si>
    <t xml:space="preserve">INV-2002</t>
  </si>
  <si>
    <t xml:space="preserve">INV-2003</t>
  </si>
  <si>
    <t xml:space="preserve">INV-2004</t>
  </si>
  <si>
    <t xml:space="preserve">INV-2005</t>
  </si>
  <si>
    <t xml:space="preserve">INV-2006</t>
  </si>
  <si>
    <t xml:space="preserve">INV-2007</t>
  </si>
  <si>
    <t xml:space="preserve">Note: INV-2005 is only in our ledger (missing from statement), INV-2007 is only in the statement, and INV-2002 has a mismatched amount.</t>
  </si>
  <si>
    <t xml:space="preserve">Use Case 7 — Simple Sales Forecast</t>
  </si>
  <si>
    <t xml:space="preserve">Try: "Write a Python formula to forecast next month's sales based on this trend"</t>
  </si>
  <si>
    <t xml:space="preserve">Month Number</t>
  </si>
  <si>
    <t xml:space="preserve">Sales (INR)</t>
  </si>
  <si>
    <t xml:space="preserve">Oct-25</t>
  </si>
  <si>
    <t xml:space="preserve">Nov-25</t>
  </si>
  <si>
    <t xml:space="preserve">Dec-25</t>
  </si>
  <si>
    <t xml:space="preserve">Jan-26</t>
  </si>
  <si>
    <t xml:space="preserve">Feb-26</t>
  </si>
  <si>
    <t xml:space="preserve">Mar-26</t>
  </si>
  <si>
    <t xml:space="preserve">Next Month Forecast (reference formula, FORECAST function)</t>
  </si>
  <si>
    <t xml:space="preserve">This is the traditional formula way to forecast (straight-line trend). Copilot's Python approach can go further — accounting for seasonality or non-linear patterns — but this is a fair baseline to compare it against.</t>
  </si>
</sst>
</file>

<file path=xl/styles.xml><?xml version="1.0" encoding="utf-8"?>
<styleSheet xmlns="http://schemas.openxmlformats.org/spreadsheetml/2006/main">
  <numFmts count="4">
    <numFmt numFmtId="164" formatCode="General"/>
    <numFmt numFmtId="165" formatCode="dd\-mmm\-yyyy"/>
    <numFmt numFmtId="166" formatCode="#,##0"/>
    <numFmt numFmtId="167"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FF7F00"/>
      <name val="Arial"/>
      <family val="0"/>
      <charset val="1"/>
    </font>
    <font>
      <i val="true"/>
      <sz val="10"/>
      <color rgb="FF555555"/>
      <name val="Arial"/>
      <family val="0"/>
      <charset val="1"/>
    </font>
    <font>
      <b val="true"/>
      <sz val="12"/>
      <name val="Arial"/>
      <family val="0"/>
      <charset val="1"/>
    </font>
    <font>
      <sz val="10"/>
      <name val="Arial"/>
      <family val="0"/>
      <charset val="1"/>
    </font>
    <font>
      <b val="true"/>
      <sz val="11"/>
      <color rgb="FFFFFFFF"/>
      <name val="Arial"/>
      <family val="0"/>
      <charset val="1"/>
    </font>
    <font>
      <b val="true"/>
      <sz val="11"/>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name val="Arial"/>
      <family val="0"/>
      <charset val="1"/>
    </font>
  </fonts>
  <fills count="4">
    <fill>
      <patternFill patternType="none"/>
    </fill>
    <fill>
      <patternFill patternType="gray125"/>
    </fill>
    <fill>
      <patternFill patternType="solid">
        <fgColor rgb="FF111111"/>
        <bgColor rgb="FF000000"/>
      </patternFill>
    </fill>
    <fill>
      <patternFill patternType="solid">
        <fgColor rgb="FFFFF9F0"/>
        <bgColor rgb="FFFFFFFF"/>
      </patternFill>
    </fill>
  </fills>
  <borders count="2">
    <border diagonalUp="false" diagonalDown="false">
      <left/>
      <right/>
      <top/>
      <bottom/>
      <diagonal/>
    </border>
    <border diagonalUp="false" diagonalDown="false">
      <left style="thin">
        <color rgb="FFDDDDDD"/>
      </left>
      <right style="thin">
        <color rgb="FFDDDDDD"/>
      </right>
      <top style="thin">
        <color rgb="FFDDDDDD"/>
      </top>
      <bottom style="thin">
        <color rgb="FFDDDD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7" fontId="7" fillId="3"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7" fillId="3"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6" fontId="0" fillId="3"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C0504D"/>
      <rgbColor rgb="FFFFF9F0"/>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DDDDD"/>
      <rgbColor rgb="FFFFFF99"/>
      <rgbColor rgb="FF99CCFF"/>
      <rgbColor rgb="FFFF99CC"/>
      <rgbColor rgb="FFCC99FF"/>
      <rgbColor rgb="FFFFCC99"/>
      <rgbColor rgb="FF3366FF"/>
      <rgbColor rgb="FF33CCCC"/>
      <rgbColor rgb="FF99CC00"/>
      <rgbColor rgb="FFFFCC00"/>
      <rgbColor rgb="FFFF9900"/>
      <rgbColor rgb="FFFF7F00"/>
      <rgbColor rgb="FF4F81BD"/>
      <rgbColor rgb="FF969696"/>
      <rgbColor rgb="FF003366"/>
      <rgbColor rgb="FF339966"/>
      <rgbColor rgb="FF111111"/>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Sales by Region (Reference Chart)</a:t>
            </a:r>
          </a:p>
        </c:rich>
      </c:tx>
      <c:overlay val="0"/>
      <c:spPr>
        <a:noFill/>
        <a:ln w="0">
          <a:noFill/>
        </a:ln>
      </c:spPr>
    </c:title>
    <c:autoTitleDeleted val="0"/>
    <c:plotArea>
      <c:barChart>
        <c:barDir val="col"/>
        <c:grouping val="clustered"/>
        <c:varyColors val="0"/>
        <c:ser>
          <c:idx val="0"/>
          <c:order val="0"/>
          <c:tx>
            <c:strRef>
              <c:f>'3 - Charts'!B4</c:f>
              <c:strCache>
                <c:ptCount val="1"/>
                <c:pt idx="0">
                  <c:v>North Zone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'3 - Charts'!$A$5:$A$10</c:f>
              <c:strCache>
                <c:ptCount val="6"/>
                <c:pt idx="0">
                  <c:v>Apr-26</c:v>
                </c:pt>
                <c:pt idx="1">
                  <c:v>May-26</c:v>
                </c:pt>
                <c:pt idx="2">
                  <c:v>Jun-26</c:v>
                </c:pt>
                <c:pt idx="3">
                  <c:v>Jul-26</c:v>
                </c:pt>
                <c:pt idx="4">
                  <c:v>Aug-26</c:v>
                </c:pt>
                <c:pt idx="5">
                  <c:v>Sep-26</c:v>
                </c:pt>
              </c:strCache>
            </c:strRef>
          </c:cat>
          <c:val>
            <c:numRef>
              <c:f>'3 - Charts'!$B$5:$B$10</c:f>
              <c:numCache>
                <c:formatCode>#,##0</c:formatCode>
                <c:ptCount val="6"/>
                <c:pt idx="0">
                  <c:v>412000</c:v>
                </c:pt>
                <c:pt idx="1">
                  <c:v>438000</c:v>
                </c:pt>
                <c:pt idx="2">
                  <c:v>405000</c:v>
                </c:pt>
                <c:pt idx="3">
                  <c:v>461000</c:v>
                </c:pt>
                <c:pt idx="4">
                  <c:v>479000</c:v>
                </c:pt>
                <c:pt idx="5">
                  <c:v>502000</c:v>
                </c:pt>
              </c:numCache>
            </c:numRef>
          </c:val>
        </c:ser>
        <c:ser>
          <c:idx val="1"/>
          <c:order val="1"/>
          <c:tx>
            <c:strRef>
              <c:f>'3 - Charts'!C4</c:f>
              <c:strCache>
                <c:ptCount val="1"/>
                <c:pt idx="0">
                  <c:v>South Zone</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'3 - Charts'!$A$5:$A$10</c:f>
              <c:strCache>
                <c:ptCount val="6"/>
                <c:pt idx="0">
                  <c:v>Apr-26</c:v>
                </c:pt>
                <c:pt idx="1">
                  <c:v>May-26</c:v>
                </c:pt>
                <c:pt idx="2">
                  <c:v>Jun-26</c:v>
                </c:pt>
                <c:pt idx="3">
                  <c:v>Jul-26</c:v>
                </c:pt>
                <c:pt idx="4">
                  <c:v>Aug-26</c:v>
                </c:pt>
                <c:pt idx="5">
                  <c:v>Sep-26</c:v>
                </c:pt>
              </c:strCache>
            </c:strRef>
          </c:cat>
          <c:val>
            <c:numRef>
              <c:f>'3 - Charts'!$C$5:$C$10</c:f>
              <c:numCache>
                <c:formatCode>#,##0</c:formatCode>
                <c:ptCount val="6"/>
                <c:pt idx="0">
                  <c:v>368000</c:v>
                </c:pt>
                <c:pt idx="1">
                  <c:v>371000</c:v>
                </c:pt>
                <c:pt idx="2">
                  <c:v>390000</c:v>
                </c:pt>
                <c:pt idx="3">
                  <c:v>402000</c:v>
                </c:pt>
                <c:pt idx="4">
                  <c:v>415000</c:v>
                </c:pt>
                <c:pt idx="5">
                  <c:v>428000</c:v>
                </c:pt>
              </c:numCache>
            </c:numRef>
          </c:val>
        </c:ser>
        <c:gapWidth val="150"/>
        <c:overlap val="0"/>
        <c:axId val="99314816"/>
        <c:axId val="20065059"/>
      </c:barChart>
      <c:catAx>
        <c:axId val="9931481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065059"/>
        <c:crosses val="autoZero"/>
        <c:auto val="1"/>
        <c:lblAlgn val="ctr"/>
        <c:lblOffset val="100"/>
        <c:noMultiLvlLbl val="0"/>
      </c:catAx>
      <c:valAx>
        <c:axId val="2006505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Sales (INR)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31481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2</xdr:row>
      <xdr:rowOff>160920</xdr:rowOff>
    </xdr:from>
    <xdr:to>
      <xdr:col>14</xdr:col>
      <xdr:colOff>507600</xdr:colOff>
      <xdr:row>19</xdr:row>
      <xdr:rowOff>162000</xdr:rowOff>
    </xdr:to>
    <xdr:graphicFrame>
      <xdr:nvGraphicFramePr>
        <xdr:cNvPr id="0" name="Chart 1"/>
        <xdr:cNvGraphicFramePr/>
      </xdr:nvGraphicFramePr>
      <xdr:xfrm>
        <a:off x="5404320" y="571680"/>
        <a:ext cx="53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65"/>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39.75" hidden="false" customHeight="true" outlineLevel="0" collapsed="false">
      <c r="A5" s="4" t="s">
        <v>3</v>
      </c>
      <c r="B5" s="4"/>
      <c r="C5" s="4"/>
      <c r="D5" s="4"/>
      <c r="E5" s="4"/>
    </row>
    <row r="7" customFormat="false" ht="15" hidden="false" customHeight="false" outlineLevel="0" collapsed="false">
      <c r="A7" s="5" t="s">
        <v>4</v>
      </c>
      <c r="B7" s="5" t="s">
        <v>5</v>
      </c>
      <c r="C7" s="5" t="s">
        <v>6</v>
      </c>
    </row>
    <row r="8" customFormat="false" ht="23.85" hidden="false" customHeight="false" outlineLevel="0" collapsed="false">
      <c r="A8" s="6" t="s">
        <v>7</v>
      </c>
      <c r="B8" s="6" t="s">
        <v>8</v>
      </c>
      <c r="C8" s="7" t="s">
        <v>9</v>
      </c>
    </row>
    <row r="9" customFormat="false" ht="15" hidden="false" customHeight="false" outlineLevel="0" collapsed="false">
      <c r="A9" s="6" t="s">
        <v>10</v>
      </c>
      <c r="B9" s="6" t="s">
        <v>11</v>
      </c>
      <c r="C9" s="7" t="s">
        <v>12</v>
      </c>
    </row>
    <row r="10" customFormat="false" ht="15" hidden="false" customHeight="false" outlineLevel="0" collapsed="false">
      <c r="A10" s="6" t="s">
        <v>13</v>
      </c>
      <c r="B10" s="6" t="s">
        <v>14</v>
      </c>
      <c r="C10" s="7" t="s">
        <v>15</v>
      </c>
    </row>
    <row r="11" customFormat="false" ht="15" hidden="false" customHeight="false" outlineLevel="0" collapsed="false">
      <c r="A11" s="6" t="s">
        <v>16</v>
      </c>
      <c r="B11" s="6" t="s">
        <v>17</v>
      </c>
      <c r="C11" s="7" t="s">
        <v>18</v>
      </c>
    </row>
    <row r="12" customFormat="false" ht="15" hidden="false" customHeight="false" outlineLevel="0" collapsed="false">
      <c r="A12" s="6" t="s">
        <v>19</v>
      </c>
      <c r="B12" s="6" t="s">
        <v>20</v>
      </c>
      <c r="C12" s="7" t="s">
        <v>21</v>
      </c>
    </row>
    <row r="13" customFormat="false" ht="23.85" hidden="false" customHeight="false" outlineLevel="0" collapsed="false">
      <c r="A13" s="6" t="s">
        <v>22</v>
      </c>
      <c r="B13" s="6" t="s">
        <v>23</v>
      </c>
      <c r="C13" s="7" t="s">
        <v>24</v>
      </c>
    </row>
    <row r="14" customFormat="false" ht="15" hidden="false" customHeight="false" outlineLevel="0" collapsed="false">
      <c r="A14" s="6" t="s">
        <v>25</v>
      </c>
      <c r="B14" s="6" t="s">
        <v>26</v>
      </c>
      <c r="C14" s="7" t="s">
        <v>27</v>
      </c>
    </row>
    <row r="17" customFormat="false" ht="30" hidden="false" customHeight="true" outlineLevel="0" collapsed="false">
      <c r="A17" s="8" t="s">
        <v>28</v>
      </c>
      <c r="B17" s="8"/>
      <c r="C17" s="8"/>
      <c r="D17" s="8"/>
      <c r="E17" s="8"/>
    </row>
  </sheetData>
  <mergeCells count="2">
    <mergeCell ref="A5:E5"/>
    <mergeCell ref="A17:E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4" min="3" style="0" width="14"/>
    <col collapsed="false" customWidth="true" hidden="false" outlineLevel="0" max="5" min="5" style="0" width="13"/>
    <col collapsed="false" customWidth="true" hidden="false" outlineLevel="0" max="7" min="6" style="0" width="22"/>
  </cols>
  <sheetData>
    <row r="1" customFormat="false" ht="17.35" hidden="false" customHeight="false" outlineLevel="0" collapsed="false">
      <c r="A1" s="9" t="s">
        <v>29</v>
      </c>
      <c r="B1" s="9"/>
      <c r="C1" s="9"/>
      <c r="D1" s="9"/>
      <c r="E1" s="9"/>
      <c r="F1" s="9"/>
      <c r="G1" s="9"/>
    </row>
    <row r="2" customFormat="false" ht="15" hidden="false" customHeight="false" outlineLevel="0" collapsed="false">
      <c r="A2" s="10" t="s">
        <v>30</v>
      </c>
      <c r="B2" s="10"/>
      <c r="C2" s="10"/>
      <c r="D2" s="10"/>
      <c r="E2" s="10"/>
      <c r="F2" s="10"/>
      <c r="G2" s="10"/>
    </row>
    <row r="4" customFormat="false" ht="15" hidden="false" customHeight="false" outlineLevel="0" collapsed="false">
      <c r="A4" s="5" t="s">
        <v>31</v>
      </c>
      <c r="B4" s="5" t="s">
        <v>32</v>
      </c>
      <c r="C4" s="5" t="s">
        <v>33</v>
      </c>
      <c r="D4" s="5" t="s">
        <v>34</v>
      </c>
      <c r="E4" s="5" t="s">
        <v>35</v>
      </c>
      <c r="F4" s="5" t="s">
        <v>36</v>
      </c>
      <c r="G4" s="5" t="s">
        <v>37</v>
      </c>
    </row>
    <row r="5" customFormat="false" ht="15" hidden="false" customHeight="false" outlineLevel="0" collapsed="false">
      <c r="A5" s="6" t="s">
        <v>38</v>
      </c>
      <c r="B5" s="6" t="s">
        <v>39</v>
      </c>
      <c r="C5" s="11" t="n">
        <v>46207</v>
      </c>
      <c r="D5" s="11" t="n">
        <v>46222</v>
      </c>
      <c r="E5" s="12" t="n">
        <v>8000</v>
      </c>
      <c r="F5" s="13" t="n">
        <f aca="true">IF(TODAY()&gt;D5,TODAY()-D5,0)</f>
        <v>50</v>
      </c>
      <c r="G5" s="13" t="str">
        <f aca="true">IF(TODAY()-D5&gt;30,"OVERDUE - FOLLOW UP",IF(TODAY()-D5&gt;0,"Due, within 30 days","Not due yet"))</f>
        <v>OVERDUE - FOLLOW UP</v>
      </c>
    </row>
    <row r="6" customFormat="false" ht="15" hidden="false" customHeight="false" outlineLevel="0" collapsed="false">
      <c r="A6" s="6" t="s">
        <v>40</v>
      </c>
      <c r="B6" s="6" t="s">
        <v>41</v>
      </c>
      <c r="C6" s="11" t="n">
        <v>46219</v>
      </c>
      <c r="D6" s="11" t="n">
        <v>46234</v>
      </c>
      <c r="E6" s="12" t="n">
        <v>10350</v>
      </c>
      <c r="F6" s="13" t="n">
        <f aca="true">IF(TODAY()&gt;D6,TODAY()-D6,0)</f>
        <v>38</v>
      </c>
      <c r="G6" s="13" t="str">
        <f aca="true">IF(TODAY()-D6&gt;30,"OVERDUE - FOLLOW UP",IF(TODAY()-D6&gt;0,"Due, within 30 days","Not due yet"))</f>
        <v>OVERDUE - FOLLOW UP</v>
      </c>
    </row>
    <row r="7" customFormat="false" ht="15" hidden="false" customHeight="false" outlineLevel="0" collapsed="false">
      <c r="A7" s="6" t="s">
        <v>42</v>
      </c>
      <c r="B7" s="6" t="s">
        <v>43</v>
      </c>
      <c r="C7" s="11" t="n">
        <v>46232</v>
      </c>
      <c r="D7" s="11" t="n">
        <v>46247</v>
      </c>
      <c r="E7" s="12" t="n">
        <v>12700</v>
      </c>
      <c r="F7" s="13" t="n">
        <f aca="true">IF(TODAY()&gt;D7,TODAY()-D7,0)</f>
        <v>25</v>
      </c>
      <c r="G7" s="13" t="str">
        <f aca="true">IF(TODAY()-D7&gt;30,"OVERDUE - FOLLOW UP",IF(TODAY()-D7&gt;0,"Due, within 30 days","Not due yet"))</f>
        <v>Due, within 30 days</v>
      </c>
    </row>
    <row r="8" customFormat="false" ht="15" hidden="false" customHeight="false" outlineLevel="0" collapsed="false">
      <c r="A8" s="6" t="s">
        <v>44</v>
      </c>
      <c r="B8" s="6" t="s">
        <v>45</v>
      </c>
      <c r="C8" s="11" t="n">
        <v>46245</v>
      </c>
      <c r="D8" s="11" t="n">
        <v>46260</v>
      </c>
      <c r="E8" s="12" t="n">
        <v>15050</v>
      </c>
      <c r="F8" s="13" t="n">
        <f aca="true">IF(TODAY()&gt;D8,TODAY()-D8,0)</f>
        <v>12</v>
      </c>
      <c r="G8" s="13" t="str">
        <f aca="true">IF(TODAY()-D8&gt;30,"OVERDUE - FOLLOW UP",IF(TODAY()-D8&gt;0,"Due, within 30 days","Not due yet"))</f>
        <v>Due, within 30 days</v>
      </c>
    </row>
    <row r="9" customFormat="false" ht="15" hidden="false" customHeight="false" outlineLevel="0" collapsed="false">
      <c r="A9" s="6" t="s">
        <v>46</v>
      </c>
      <c r="B9" s="6" t="s">
        <v>47</v>
      </c>
      <c r="C9" s="11" t="n">
        <v>46254</v>
      </c>
      <c r="D9" s="11" t="n">
        <v>46269</v>
      </c>
      <c r="E9" s="12" t="n">
        <v>17400</v>
      </c>
      <c r="F9" s="13" t="n">
        <f aca="true">IF(TODAY()&gt;D9,TODAY()-D9,0)</f>
        <v>3</v>
      </c>
      <c r="G9" s="13" t="str">
        <f aca="true">IF(TODAY()-D9&gt;30,"OVERDUE - FOLLOW UP",IF(TODAY()-D9&gt;0,"Due, within 30 days","Not due yet"))</f>
        <v>Due, within 30 days</v>
      </c>
    </row>
    <row r="10" customFormat="false" ht="15" hidden="false" customHeight="false" outlineLevel="0" collapsed="false">
      <c r="A10" s="6" t="s">
        <v>48</v>
      </c>
      <c r="B10" s="6" t="s">
        <v>49</v>
      </c>
      <c r="C10" s="11" t="n">
        <v>46262</v>
      </c>
      <c r="D10" s="11" t="n">
        <v>46277</v>
      </c>
      <c r="E10" s="12" t="n">
        <v>19750</v>
      </c>
      <c r="F10" s="13" t="n">
        <f aca="true">IF(TODAY()&gt;D10,TODAY()-D10,0)</f>
        <v>0</v>
      </c>
      <c r="G10" s="13" t="str">
        <f aca="true">IF(TODAY()-D10&gt;30,"OVERDUE - FOLLOW UP",IF(TODAY()-D10&gt;0,"Due, within 30 days","Not due yet"))</f>
        <v>Not due yet</v>
      </c>
    </row>
    <row r="11" customFormat="false" ht="15" hidden="false" customHeight="false" outlineLevel="0" collapsed="false">
      <c r="A11" s="6" t="s">
        <v>50</v>
      </c>
      <c r="B11" s="6" t="s">
        <v>51</v>
      </c>
      <c r="C11" s="11" t="n">
        <v>46269</v>
      </c>
      <c r="D11" s="11" t="n">
        <v>46284</v>
      </c>
      <c r="E11" s="12" t="n">
        <v>22100</v>
      </c>
      <c r="F11" s="13" t="n">
        <f aca="true">IF(TODAY()&gt;D11,TODAY()-D11,0)</f>
        <v>0</v>
      </c>
      <c r="G11" s="13" t="str">
        <f aca="true">IF(TODAY()-D11&gt;30,"OVERDUE - FOLLOW UP",IF(TODAY()-D11&gt;0,"Due, within 30 days","Not due yet"))</f>
        <v>Not due yet</v>
      </c>
    </row>
    <row r="12" customFormat="false" ht="15" hidden="false" customHeight="false" outlineLevel="0" collapsed="false">
      <c r="A12" s="6" t="s">
        <v>52</v>
      </c>
      <c r="B12" s="6" t="s">
        <v>53</v>
      </c>
      <c r="C12" s="11" t="n">
        <v>46277</v>
      </c>
      <c r="D12" s="11" t="n">
        <v>46292</v>
      </c>
      <c r="E12" s="12" t="n">
        <v>24450</v>
      </c>
      <c r="F12" s="13" t="n">
        <f aca="true">IF(TODAY()&gt;D12,TODAY()-D12,0)</f>
        <v>0</v>
      </c>
      <c r="G12" s="13" t="str">
        <f aca="true">IF(TODAY()-D12&gt;30,"OVERDUE - FOLLOW UP",IF(TODAY()-D12&gt;0,"Due, within 30 days","Not due yet"))</f>
        <v>Not due yet</v>
      </c>
    </row>
    <row r="13" customFormat="false" ht="15" hidden="false" customHeight="false" outlineLevel="0" collapsed="false">
      <c r="A13" s="6" t="s">
        <v>54</v>
      </c>
      <c r="B13" s="6" t="s">
        <v>55</v>
      </c>
      <c r="C13" s="11" t="n">
        <v>46285</v>
      </c>
      <c r="D13" s="11" t="n">
        <v>46300</v>
      </c>
      <c r="E13" s="12" t="n">
        <v>26800</v>
      </c>
      <c r="F13" s="13" t="n">
        <f aca="true">IF(TODAY()&gt;D13,TODAY()-D13,0)</f>
        <v>0</v>
      </c>
      <c r="G13" s="13" t="str">
        <f aca="true">IF(TODAY()-D13&gt;30,"OVERDUE - FOLLOW UP",IF(TODAY()-D13&gt;0,"Due, within 30 days","Not due yet"))</f>
        <v>Not due yet</v>
      </c>
    </row>
    <row r="14" customFormat="false" ht="15" hidden="false" customHeight="false" outlineLevel="0" collapsed="false">
      <c r="A14" s="6" t="s">
        <v>56</v>
      </c>
      <c r="B14" s="6" t="s">
        <v>57</v>
      </c>
      <c r="C14" s="11" t="n">
        <v>46292</v>
      </c>
      <c r="D14" s="11" t="n">
        <v>46307</v>
      </c>
      <c r="E14" s="12" t="n">
        <v>29150</v>
      </c>
      <c r="F14" s="13" t="n">
        <f aca="true">IF(TODAY()&gt;D14,TODAY()-D14,0)</f>
        <v>0</v>
      </c>
      <c r="G14" s="13" t="str">
        <f aca="true">IF(TODAY()-D14&gt;30,"OVERDUE - FOLLOW UP",IF(TODAY()-D14&gt;0,"Due, within 30 days","Not due yet"))</f>
        <v>Not due yet</v>
      </c>
    </row>
    <row r="15" customFormat="false" ht="15" hidden="false" customHeight="false" outlineLevel="0" collapsed="false">
      <c r="A15" s="6" t="s">
        <v>58</v>
      </c>
      <c r="B15" s="6" t="s">
        <v>59</v>
      </c>
      <c r="C15" s="11" t="n">
        <v>46197</v>
      </c>
      <c r="D15" s="11" t="n">
        <v>46212</v>
      </c>
      <c r="E15" s="12" t="n">
        <v>31500</v>
      </c>
      <c r="F15" s="13" t="n">
        <f aca="true">IF(TODAY()&gt;D15,TODAY()-D15,0)</f>
        <v>60</v>
      </c>
      <c r="G15" s="13" t="str">
        <f aca="true">IF(TODAY()-D15&gt;30,"OVERDUE - FOLLOW UP",IF(TODAY()-D15&gt;0,"Due, within 30 days","Not due yet"))</f>
        <v>OVERDUE - FOLLOW UP</v>
      </c>
    </row>
    <row r="16" customFormat="false" ht="15" hidden="false" customHeight="false" outlineLevel="0" collapsed="false">
      <c r="A16" s="6" t="s">
        <v>60</v>
      </c>
      <c r="B16" s="6" t="s">
        <v>61</v>
      </c>
      <c r="C16" s="11" t="n">
        <v>46239</v>
      </c>
      <c r="D16" s="11" t="n">
        <v>46254</v>
      </c>
      <c r="E16" s="12" t="n">
        <v>33850</v>
      </c>
      <c r="F16" s="13" t="n">
        <f aca="true">IF(TODAY()&gt;D16,TODAY()-D16,0)</f>
        <v>18</v>
      </c>
      <c r="G16" s="13" t="str">
        <f aca="true">IF(TODAY()-D16&gt;30,"OVERDUE - FOLLOW UP",IF(TODAY()-D16&gt;0,"Due, within 30 days","Not due yet"))</f>
        <v>Due, within 30 days</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26"/>
    <col collapsed="false" customWidth="true" hidden="false" outlineLevel="0" max="4" min="4" style="0" width="14"/>
  </cols>
  <sheetData>
    <row r="1" customFormat="false" ht="17.35" hidden="false" customHeight="false" outlineLevel="0" collapsed="false">
      <c r="A1" s="9" t="s">
        <v>62</v>
      </c>
      <c r="B1" s="9"/>
      <c r="C1" s="9"/>
      <c r="D1" s="9"/>
    </row>
    <row r="2" customFormat="false" ht="15" hidden="false" customHeight="false" outlineLevel="0" collapsed="false">
      <c r="A2" s="10" t="s">
        <v>63</v>
      </c>
      <c r="B2" s="10"/>
      <c r="C2" s="10"/>
      <c r="D2" s="10"/>
    </row>
    <row r="4" customFormat="false" ht="15" hidden="false" customHeight="false" outlineLevel="0" collapsed="false">
      <c r="A4" s="5" t="s">
        <v>64</v>
      </c>
      <c r="B4" s="5" t="s">
        <v>65</v>
      </c>
      <c r="C4" s="5" t="s">
        <v>66</v>
      </c>
      <c r="D4" s="5" t="s">
        <v>35</v>
      </c>
    </row>
    <row r="5" customFormat="false" ht="15" hidden="false" customHeight="false" outlineLevel="0" collapsed="false">
      <c r="A5" s="11" t="n">
        <v>46206</v>
      </c>
      <c r="B5" s="6" t="s">
        <v>67</v>
      </c>
      <c r="C5" s="6" t="s">
        <v>68</v>
      </c>
      <c r="D5" s="12" t="n">
        <v>42000</v>
      </c>
    </row>
    <row r="6" customFormat="false" ht="15" hidden="false" customHeight="false" outlineLevel="0" collapsed="false">
      <c r="A6" s="11" t="n">
        <v>46208</v>
      </c>
      <c r="B6" s="6" t="s">
        <v>69</v>
      </c>
      <c r="C6" s="6" t="s">
        <v>70</v>
      </c>
      <c r="D6" s="12" t="n">
        <v>185000</v>
      </c>
    </row>
    <row r="7" customFormat="false" ht="15" hidden="false" customHeight="false" outlineLevel="0" collapsed="false">
      <c r="A7" s="11" t="n">
        <v>46211</v>
      </c>
      <c r="B7" s="6" t="s">
        <v>71</v>
      </c>
      <c r="C7" s="6" t="s">
        <v>72</v>
      </c>
      <c r="D7" s="12" t="n">
        <v>9800</v>
      </c>
    </row>
    <row r="8" customFormat="false" ht="15" hidden="false" customHeight="false" outlineLevel="0" collapsed="false">
      <c r="A8" s="11" t="n">
        <v>46215</v>
      </c>
      <c r="B8" s="6" t="s">
        <v>73</v>
      </c>
      <c r="C8" s="6" t="s">
        <v>74</v>
      </c>
      <c r="D8" s="12" t="n">
        <v>6200</v>
      </c>
    </row>
    <row r="9" customFormat="false" ht="15" hidden="false" customHeight="false" outlineLevel="0" collapsed="false">
      <c r="A9" s="11" t="n">
        <v>46218</v>
      </c>
      <c r="B9" s="6" t="s">
        <v>75</v>
      </c>
      <c r="C9" s="6" t="s">
        <v>76</v>
      </c>
      <c r="D9" s="12" t="n">
        <v>3400</v>
      </c>
    </row>
    <row r="10" customFormat="false" ht="15" hidden="false" customHeight="false" outlineLevel="0" collapsed="false">
      <c r="A10" s="11" t="n">
        <v>46223</v>
      </c>
      <c r="B10" s="6" t="s">
        <v>77</v>
      </c>
      <c r="C10" s="6" t="s">
        <v>78</v>
      </c>
      <c r="D10" s="12" t="n">
        <v>11000</v>
      </c>
    </row>
    <row r="11" customFormat="false" ht="15" hidden="false" customHeight="false" outlineLevel="0" collapsed="false">
      <c r="A11" s="11" t="n">
        <v>46237</v>
      </c>
      <c r="B11" s="6" t="s">
        <v>67</v>
      </c>
      <c r="C11" s="6" t="s">
        <v>79</v>
      </c>
      <c r="D11" s="12" t="n">
        <v>42000</v>
      </c>
    </row>
    <row r="12" customFormat="false" ht="15" hidden="false" customHeight="false" outlineLevel="0" collapsed="false">
      <c r="A12" s="11" t="n">
        <v>46239</v>
      </c>
      <c r="B12" s="6" t="s">
        <v>69</v>
      </c>
      <c r="C12" s="6" t="s">
        <v>80</v>
      </c>
      <c r="D12" s="12" t="n">
        <v>190000</v>
      </c>
    </row>
    <row r="13" customFormat="false" ht="15" hidden="false" customHeight="false" outlineLevel="0" collapsed="false">
      <c r="A13" s="11" t="n">
        <v>46243</v>
      </c>
      <c r="B13" s="6" t="s">
        <v>71</v>
      </c>
      <c r="C13" s="6" t="s">
        <v>81</v>
      </c>
      <c r="D13" s="12" t="n">
        <v>4600</v>
      </c>
    </row>
    <row r="14" customFormat="false" ht="15" hidden="false" customHeight="false" outlineLevel="0" collapsed="false">
      <c r="A14" s="11" t="n">
        <v>46245</v>
      </c>
      <c r="B14" s="6" t="s">
        <v>73</v>
      </c>
      <c r="C14" s="6" t="s">
        <v>82</v>
      </c>
      <c r="D14" s="12" t="n">
        <v>5100</v>
      </c>
    </row>
    <row r="15" customFormat="false" ht="15" hidden="false" customHeight="false" outlineLevel="0" collapsed="false">
      <c r="A15" s="11" t="n">
        <v>46252</v>
      </c>
      <c r="B15" s="6" t="s">
        <v>75</v>
      </c>
      <c r="C15" s="6" t="s">
        <v>83</v>
      </c>
      <c r="D15" s="12" t="n">
        <v>2900</v>
      </c>
    </row>
    <row r="16" customFormat="false" ht="15" hidden="false" customHeight="false" outlineLevel="0" collapsed="false">
      <c r="A16" s="11" t="n">
        <v>46256</v>
      </c>
      <c r="B16" s="6" t="s">
        <v>77</v>
      </c>
      <c r="C16" s="6" t="s">
        <v>84</v>
      </c>
      <c r="D16" s="12" t="n">
        <v>14500</v>
      </c>
    </row>
    <row r="17" customFormat="false" ht="15" hidden="false" customHeight="false" outlineLevel="0" collapsed="false">
      <c r="A17" s="11" t="n">
        <v>46267</v>
      </c>
      <c r="B17" s="6" t="s">
        <v>67</v>
      </c>
      <c r="C17" s="6" t="s">
        <v>85</v>
      </c>
      <c r="D17" s="12" t="n">
        <v>42000</v>
      </c>
    </row>
    <row r="18" customFormat="false" ht="15" hidden="false" customHeight="false" outlineLevel="0" collapsed="false">
      <c r="A18" s="11" t="n">
        <v>46269</v>
      </c>
      <c r="B18" s="6" t="s">
        <v>69</v>
      </c>
      <c r="C18" s="6" t="s">
        <v>86</v>
      </c>
      <c r="D18" s="12" t="n">
        <v>192000</v>
      </c>
    </row>
    <row r="19" customFormat="false" ht="15" hidden="false" customHeight="false" outlineLevel="0" collapsed="false">
      <c r="A19" s="11" t="n">
        <v>46271</v>
      </c>
      <c r="B19" s="6" t="s">
        <v>71</v>
      </c>
      <c r="C19" s="6" t="s">
        <v>72</v>
      </c>
      <c r="D19" s="12" t="n">
        <v>9950</v>
      </c>
    </row>
    <row r="22" customFormat="false" ht="15" hidden="false" customHeight="false" outlineLevel="0" collapsed="false">
      <c r="A22" s="14" t="s">
        <v>87</v>
      </c>
    </row>
    <row r="23" customFormat="false" ht="15" hidden="false" customHeight="false" outlineLevel="0" collapsed="false">
      <c r="A23" s="5" t="s">
        <v>65</v>
      </c>
      <c r="B23" s="5" t="s">
        <v>88</v>
      </c>
    </row>
    <row r="24" customFormat="false" ht="15" hidden="false" customHeight="false" outlineLevel="0" collapsed="false">
      <c r="A24" s="13" t="s">
        <v>67</v>
      </c>
      <c r="B24" s="15" t="n">
        <f aca="false">SUMIF($B$5:$B$19,A24,$D$5:$D$19)</f>
        <v>126000</v>
      </c>
    </row>
    <row r="25" customFormat="false" ht="15" hidden="false" customHeight="false" outlineLevel="0" collapsed="false">
      <c r="A25" s="13" t="s">
        <v>69</v>
      </c>
      <c r="B25" s="15" t="n">
        <f aca="false">SUMIF($B$5:$B$19,A25,$D$5:$D$19)</f>
        <v>567000</v>
      </c>
    </row>
    <row r="26" customFormat="false" ht="15" hidden="false" customHeight="false" outlineLevel="0" collapsed="false">
      <c r="A26" s="13" t="s">
        <v>71</v>
      </c>
      <c r="B26" s="15" t="n">
        <f aca="false">SUMIF($B$5:$B$19,A26,$D$5:$D$19)</f>
        <v>24350</v>
      </c>
    </row>
    <row r="27" customFormat="false" ht="15" hidden="false" customHeight="false" outlineLevel="0" collapsed="false">
      <c r="A27" s="13" t="s">
        <v>73</v>
      </c>
      <c r="B27" s="15" t="n">
        <f aca="false">SUMIF($B$5:$B$19,A27,$D$5:$D$19)</f>
        <v>11300</v>
      </c>
    </row>
    <row r="28" customFormat="false" ht="15" hidden="false" customHeight="false" outlineLevel="0" collapsed="false">
      <c r="A28" s="13" t="s">
        <v>75</v>
      </c>
      <c r="B28" s="15" t="n">
        <f aca="false">SUMIF($B$5:$B$19,A28,$D$5:$D$19)</f>
        <v>6300</v>
      </c>
    </row>
    <row r="29" customFormat="false" ht="15" hidden="false" customHeight="false" outlineLevel="0" collapsed="false">
      <c r="A29" s="13" t="s">
        <v>77</v>
      </c>
      <c r="B29" s="15" t="n">
        <f aca="false">SUMIF($B$5:$B$19,A29,$D$5:$D$19)</f>
        <v>25500</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5" min="2" style="0" width="14"/>
  </cols>
  <sheetData>
    <row r="1" customFormat="false" ht="17.35" hidden="false" customHeight="false" outlineLevel="0" collapsed="false">
      <c r="A1" s="9" t="s">
        <v>89</v>
      </c>
      <c r="B1" s="9"/>
      <c r="C1" s="9"/>
      <c r="D1" s="9"/>
      <c r="E1" s="9"/>
    </row>
    <row r="2" customFormat="false" ht="15" hidden="false" customHeight="false" outlineLevel="0" collapsed="false">
      <c r="A2" s="10" t="s">
        <v>90</v>
      </c>
      <c r="B2" s="10"/>
      <c r="C2" s="10"/>
      <c r="D2" s="10"/>
      <c r="E2" s="10"/>
    </row>
    <row r="4" customFormat="false" ht="15" hidden="false" customHeight="false" outlineLevel="0" collapsed="false">
      <c r="A4" s="5" t="s">
        <v>91</v>
      </c>
      <c r="B4" s="5" t="s">
        <v>92</v>
      </c>
      <c r="C4" s="5" t="s">
        <v>93</v>
      </c>
      <c r="D4" s="5" t="s">
        <v>94</v>
      </c>
      <c r="E4" s="5" t="s">
        <v>95</v>
      </c>
    </row>
    <row r="5" customFormat="false" ht="15" hidden="false" customHeight="false" outlineLevel="0" collapsed="false">
      <c r="A5" s="6" t="s">
        <v>96</v>
      </c>
      <c r="B5" s="12" t="n">
        <v>412000</v>
      </c>
      <c r="C5" s="12" t="n">
        <v>368000</v>
      </c>
      <c r="D5" s="12" t="n">
        <v>295000</v>
      </c>
      <c r="E5" s="12" t="n">
        <v>356000</v>
      </c>
    </row>
    <row r="6" customFormat="false" ht="15" hidden="false" customHeight="false" outlineLevel="0" collapsed="false">
      <c r="A6" s="6" t="s">
        <v>97</v>
      </c>
      <c r="B6" s="12" t="n">
        <v>438000</v>
      </c>
      <c r="C6" s="12" t="n">
        <v>371000</v>
      </c>
      <c r="D6" s="12" t="n">
        <v>302000</v>
      </c>
      <c r="E6" s="12" t="n">
        <v>349000</v>
      </c>
    </row>
    <row r="7" customFormat="false" ht="15" hidden="false" customHeight="false" outlineLevel="0" collapsed="false">
      <c r="A7" s="6" t="s">
        <v>98</v>
      </c>
      <c r="B7" s="12" t="n">
        <v>405000</v>
      </c>
      <c r="C7" s="12" t="n">
        <v>390000</v>
      </c>
      <c r="D7" s="12" t="n">
        <v>288000</v>
      </c>
      <c r="E7" s="12" t="n">
        <v>362000</v>
      </c>
    </row>
    <row r="8" customFormat="false" ht="15" hidden="false" customHeight="false" outlineLevel="0" collapsed="false">
      <c r="A8" s="6" t="s">
        <v>99</v>
      </c>
      <c r="B8" s="12" t="n">
        <v>461000</v>
      </c>
      <c r="C8" s="12" t="n">
        <v>402000</v>
      </c>
      <c r="D8" s="12" t="n">
        <v>310000</v>
      </c>
      <c r="E8" s="12" t="n">
        <v>378000</v>
      </c>
    </row>
    <row r="9" customFormat="false" ht="15" hidden="false" customHeight="false" outlineLevel="0" collapsed="false">
      <c r="A9" s="6" t="s">
        <v>100</v>
      </c>
      <c r="B9" s="12" t="n">
        <v>479000</v>
      </c>
      <c r="C9" s="12" t="n">
        <v>415000</v>
      </c>
      <c r="D9" s="12" t="n">
        <v>322000</v>
      </c>
      <c r="E9" s="12" t="n">
        <v>385000</v>
      </c>
    </row>
    <row r="10" customFormat="false" ht="15" hidden="false" customHeight="false" outlineLevel="0" collapsed="false">
      <c r="A10" s="6" t="s">
        <v>101</v>
      </c>
      <c r="B10" s="12" t="n">
        <v>502000</v>
      </c>
      <c r="C10" s="12" t="n">
        <v>428000</v>
      </c>
      <c r="D10" s="12" t="n">
        <v>335000</v>
      </c>
      <c r="E10" s="12" t="n">
        <v>401000</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4" min="3" style="0" width="14"/>
  </cols>
  <sheetData>
    <row r="1" customFormat="false" ht="17.35" hidden="false" customHeight="false" outlineLevel="0" collapsed="false">
      <c r="A1" s="9" t="s">
        <v>102</v>
      </c>
      <c r="B1" s="9"/>
      <c r="C1" s="9"/>
      <c r="D1" s="9"/>
      <c r="E1" s="9"/>
    </row>
    <row r="2" customFormat="false" ht="15" hidden="false" customHeight="false" outlineLevel="0" collapsed="false">
      <c r="A2" s="10" t="s">
        <v>103</v>
      </c>
      <c r="B2" s="10"/>
      <c r="C2" s="10"/>
      <c r="D2" s="10"/>
      <c r="E2" s="10"/>
    </row>
    <row r="4" customFormat="false" ht="15" hidden="false" customHeight="false" outlineLevel="0" collapsed="false">
      <c r="A4" s="5" t="s">
        <v>64</v>
      </c>
      <c r="B4" s="5" t="s">
        <v>91</v>
      </c>
      <c r="C4" s="5" t="s">
        <v>65</v>
      </c>
      <c r="D4" s="5" t="s">
        <v>35</v>
      </c>
    </row>
    <row r="5" customFormat="false" ht="15" hidden="false" customHeight="false" outlineLevel="0" collapsed="false">
      <c r="A5" s="11" t="n">
        <v>46177</v>
      </c>
      <c r="B5" s="6" t="str">
        <f aca="false">TEXT(A5,"MMM-YYYY")</f>
        <v>Jun-2026</v>
      </c>
      <c r="C5" s="6" t="s">
        <v>104</v>
      </c>
      <c r="D5" s="12" t="n">
        <v>15000</v>
      </c>
    </row>
    <row r="6" customFormat="false" ht="15" hidden="false" customHeight="false" outlineLevel="0" collapsed="false">
      <c r="A6" s="11" t="n">
        <v>46181</v>
      </c>
      <c r="B6" s="6" t="str">
        <f aca="false">TEXT(A6,"MMM-YYYY")</f>
        <v>Jun-2026</v>
      </c>
      <c r="C6" s="6" t="s">
        <v>105</v>
      </c>
      <c r="D6" s="12" t="n">
        <v>17200</v>
      </c>
    </row>
    <row r="7" customFormat="false" ht="15" hidden="false" customHeight="false" outlineLevel="0" collapsed="false">
      <c r="A7" s="11" t="n">
        <v>46185</v>
      </c>
      <c r="B7" s="6" t="str">
        <f aca="false">TEXT(A7,"MMM-YYYY")</f>
        <v>Jun-2026</v>
      </c>
      <c r="C7" s="6" t="s">
        <v>73</v>
      </c>
      <c r="D7" s="12" t="n">
        <v>19400</v>
      </c>
    </row>
    <row r="8" customFormat="false" ht="15" hidden="false" customHeight="false" outlineLevel="0" collapsed="false">
      <c r="A8" s="11" t="n">
        <v>46189</v>
      </c>
      <c r="B8" s="6" t="str">
        <f aca="false">TEXT(A8,"MMM-YYYY")</f>
        <v>Jun-2026</v>
      </c>
      <c r="C8" s="6" t="s">
        <v>77</v>
      </c>
      <c r="D8" s="12" t="n">
        <v>21600</v>
      </c>
    </row>
    <row r="9" customFormat="false" ht="15" hidden="false" customHeight="false" outlineLevel="0" collapsed="false">
      <c r="A9" s="11" t="n">
        <v>46193</v>
      </c>
      <c r="B9" s="6" t="str">
        <f aca="false">TEXT(A9,"MMM-YYYY")</f>
        <v>Jun-2026</v>
      </c>
      <c r="C9" s="6" t="s">
        <v>106</v>
      </c>
      <c r="D9" s="12" t="n">
        <v>23800</v>
      </c>
    </row>
    <row r="10" customFormat="false" ht="15" hidden="false" customHeight="false" outlineLevel="0" collapsed="false">
      <c r="A10" s="11" t="n">
        <v>46207</v>
      </c>
      <c r="B10" s="6" t="str">
        <f aca="false">TEXT(A10,"MMM-YYYY")</f>
        <v>Jul-2026</v>
      </c>
      <c r="C10" s="6" t="s">
        <v>104</v>
      </c>
      <c r="D10" s="12" t="n">
        <v>18000</v>
      </c>
    </row>
    <row r="11" customFormat="false" ht="15" hidden="false" customHeight="false" outlineLevel="0" collapsed="false">
      <c r="A11" s="11" t="n">
        <v>46211</v>
      </c>
      <c r="B11" s="6" t="str">
        <f aca="false">TEXT(A11,"MMM-YYYY")</f>
        <v>Jul-2026</v>
      </c>
      <c r="C11" s="6" t="s">
        <v>105</v>
      </c>
      <c r="D11" s="12" t="n">
        <v>20200</v>
      </c>
    </row>
    <row r="12" customFormat="false" ht="15" hidden="false" customHeight="false" outlineLevel="0" collapsed="false">
      <c r="A12" s="11" t="n">
        <v>46215</v>
      </c>
      <c r="B12" s="6" t="str">
        <f aca="false">TEXT(A12,"MMM-YYYY")</f>
        <v>Jul-2026</v>
      </c>
      <c r="C12" s="6" t="s">
        <v>73</v>
      </c>
      <c r="D12" s="12" t="n">
        <v>22400</v>
      </c>
    </row>
    <row r="13" customFormat="false" ht="15" hidden="false" customHeight="false" outlineLevel="0" collapsed="false">
      <c r="A13" s="11" t="n">
        <v>46219</v>
      </c>
      <c r="B13" s="6" t="str">
        <f aca="false">TEXT(A13,"MMM-YYYY")</f>
        <v>Jul-2026</v>
      </c>
      <c r="C13" s="6" t="s">
        <v>77</v>
      </c>
      <c r="D13" s="12" t="n">
        <v>24600</v>
      </c>
    </row>
    <row r="14" customFormat="false" ht="15" hidden="false" customHeight="false" outlineLevel="0" collapsed="false">
      <c r="A14" s="11" t="n">
        <v>46223</v>
      </c>
      <c r="B14" s="6" t="str">
        <f aca="false">TEXT(A14,"MMM-YYYY")</f>
        <v>Jul-2026</v>
      </c>
      <c r="C14" s="6" t="s">
        <v>106</v>
      </c>
      <c r="D14" s="12" t="n">
        <v>26800</v>
      </c>
    </row>
    <row r="15" customFormat="false" ht="15" hidden="false" customHeight="false" outlineLevel="0" collapsed="false">
      <c r="A15" s="11" t="n">
        <v>46238</v>
      </c>
      <c r="B15" s="6" t="str">
        <f aca="false">TEXT(A15,"MMM-YYYY")</f>
        <v>Aug-2026</v>
      </c>
      <c r="C15" s="6" t="s">
        <v>104</v>
      </c>
      <c r="D15" s="12" t="n">
        <v>21000</v>
      </c>
    </row>
    <row r="16" customFormat="false" ht="15" hidden="false" customHeight="false" outlineLevel="0" collapsed="false">
      <c r="A16" s="11" t="n">
        <v>46242</v>
      </c>
      <c r="B16" s="6" t="str">
        <f aca="false">TEXT(A16,"MMM-YYYY")</f>
        <v>Aug-2026</v>
      </c>
      <c r="C16" s="6" t="s">
        <v>105</v>
      </c>
      <c r="D16" s="12" t="n">
        <v>23200</v>
      </c>
    </row>
    <row r="17" customFormat="false" ht="15" hidden="false" customHeight="false" outlineLevel="0" collapsed="false">
      <c r="A17" s="11" t="n">
        <v>46246</v>
      </c>
      <c r="B17" s="6" t="str">
        <f aca="false">TEXT(A17,"MMM-YYYY")</f>
        <v>Aug-2026</v>
      </c>
      <c r="C17" s="6" t="s">
        <v>73</v>
      </c>
      <c r="D17" s="12" t="n">
        <v>25400</v>
      </c>
    </row>
    <row r="18" customFormat="false" ht="15" hidden="false" customHeight="false" outlineLevel="0" collapsed="false">
      <c r="A18" s="11" t="n">
        <v>46250</v>
      </c>
      <c r="B18" s="6" t="str">
        <f aca="false">TEXT(A18,"MMM-YYYY")</f>
        <v>Aug-2026</v>
      </c>
      <c r="C18" s="6" t="s">
        <v>77</v>
      </c>
      <c r="D18" s="12" t="n">
        <v>27600</v>
      </c>
    </row>
    <row r="19" customFormat="false" ht="15" hidden="false" customHeight="false" outlineLevel="0" collapsed="false">
      <c r="A19" s="11" t="n">
        <v>46254</v>
      </c>
      <c r="B19" s="6" t="str">
        <f aca="false">TEXT(A19,"MMM-YYYY")</f>
        <v>Aug-2026</v>
      </c>
      <c r="C19" s="6" t="s">
        <v>106</v>
      </c>
      <c r="D19" s="12" t="n">
        <v>29800</v>
      </c>
    </row>
    <row r="20" customFormat="false" ht="15" hidden="false" customHeight="false" outlineLevel="0" collapsed="false">
      <c r="A20" s="11" t="n">
        <v>46269</v>
      </c>
      <c r="B20" s="6" t="str">
        <f aca="false">TEXT(A20,"MMM-YYYY")</f>
        <v>Sep-2026</v>
      </c>
      <c r="C20" s="6" t="s">
        <v>104</v>
      </c>
      <c r="D20" s="12" t="n">
        <v>24000</v>
      </c>
    </row>
    <row r="21" customFormat="false" ht="15" hidden="false" customHeight="false" outlineLevel="0" collapsed="false">
      <c r="A21" s="11" t="n">
        <v>46273</v>
      </c>
      <c r="B21" s="6" t="str">
        <f aca="false">TEXT(A21,"MMM-YYYY")</f>
        <v>Sep-2026</v>
      </c>
      <c r="C21" s="6" t="s">
        <v>105</v>
      </c>
      <c r="D21" s="12" t="n">
        <v>26200</v>
      </c>
    </row>
    <row r="22" customFormat="false" ht="15" hidden="false" customHeight="false" outlineLevel="0" collapsed="false">
      <c r="A22" s="11" t="n">
        <v>46277</v>
      </c>
      <c r="B22" s="6" t="str">
        <f aca="false">TEXT(A22,"MMM-YYYY")</f>
        <v>Sep-2026</v>
      </c>
      <c r="C22" s="6" t="s">
        <v>73</v>
      </c>
      <c r="D22" s="12" t="n">
        <v>28400</v>
      </c>
    </row>
    <row r="23" customFormat="false" ht="15" hidden="false" customHeight="false" outlineLevel="0" collapsed="false">
      <c r="A23" s="11" t="n">
        <v>46281</v>
      </c>
      <c r="B23" s="6" t="str">
        <f aca="false">TEXT(A23,"MMM-YYYY")</f>
        <v>Sep-2026</v>
      </c>
      <c r="C23" s="6" t="s">
        <v>77</v>
      </c>
      <c r="D23" s="12" t="n">
        <v>30600</v>
      </c>
    </row>
    <row r="24" customFormat="false" ht="15" hidden="false" customHeight="false" outlineLevel="0" collapsed="false">
      <c r="A24" s="11" t="n">
        <v>46285</v>
      </c>
      <c r="B24" s="6" t="str">
        <f aca="false">TEXT(A24,"MMM-YYYY")</f>
        <v>Sep-2026</v>
      </c>
      <c r="C24" s="6" t="s">
        <v>106</v>
      </c>
      <c r="D24" s="12" t="n">
        <v>32800</v>
      </c>
    </row>
    <row r="27" customFormat="false" ht="15" hidden="false" customHeight="false" outlineLevel="0" collapsed="false">
      <c r="A27" s="16" t="s">
        <v>107</v>
      </c>
      <c r="B27" s="16"/>
      <c r="C27" s="16"/>
      <c r="D27" s="16"/>
      <c r="E27" s="16"/>
      <c r="F27" s="16"/>
    </row>
    <row r="28" customFormat="false" ht="15" hidden="false" customHeight="false" outlineLevel="0" collapsed="false">
      <c r="A28" s="5" t="s">
        <v>91</v>
      </c>
      <c r="B28" s="5" t="s">
        <v>104</v>
      </c>
      <c r="C28" s="5" t="s">
        <v>105</v>
      </c>
      <c r="D28" s="5" t="s">
        <v>73</v>
      </c>
      <c r="E28" s="5" t="s">
        <v>77</v>
      </c>
      <c r="F28" s="5" t="s">
        <v>106</v>
      </c>
    </row>
    <row r="29" customFormat="false" ht="15" hidden="false" customHeight="false" outlineLevel="0" collapsed="false">
      <c r="A29" s="13" t="s">
        <v>108</v>
      </c>
      <c r="B29" s="15" t="n">
        <f aca="false">SUMIFS($D$5:$D$24,$B$5:$B$24,$A29,$C$5:$C$24,B$28)</f>
        <v>15000</v>
      </c>
      <c r="C29" s="15" t="n">
        <f aca="false">SUMIFS($D$5:$D$24,$B$5:$B$24,$A29,$C$5:$C$24,C$28)</f>
        <v>17200</v>
      </c>
      <c r="D29" s="15" t="n">
        <f aca="false">SUMIFS($D$5:$D$24,$B$5:$B$24,$A29,$C$5:$C$24,D$28)</f>
        <v>19400</v>
      </c>
      <c r="E29" s="15" t="n">
        <f aca="false">SUMIFS($D$5:$D$24,$B$5:$B$24,$A29,$C$5:$C$24,E$28)</f>
        <v>21600</v>
      </c>
      <c r="F29" s="15" t="n">
        <f aca="false">SUMIFS($D$5:$D$24,$B$5:$B$24,$A29,$C$5:$C$24,F$28)</f>
        <v>23800</v>
      </c>
    </row>
    <row r="30" customFormat="false" ht="15" hidden="false" customHeight="false" outlineLevel="0" collapsed="false">
      <c r="A30" s="13" t="s">
        <v>109</v>
      </c>
      <c r="B30" s="15" t="n">
        <f aca="false">SUMIFS($D$5:$D$24,$B$5:$B$24,$A30,$C$5:$C$24,B$28)</f>
        <v>18000</v>
      </c>
      <c r="C30" s="15" t="n">
        <f aca="false">SUMIFS($D$5:$D$24,$B$5:$B$24,$A30,$C$5:$C$24,C$28)</f>
        <v>20200</v>
      </c>
      <c r="D30" s="15" t="n">
        <f aca="false">SUMIFS($D$5:$D$24,$B$5:$B$24,$A30,$C$5:$C$24,D$28)</f>
        <v>22400</v>
      </c>
      <c r="E30" s="15" t="n">
        <f aca="false">SUMIFS($D$5:$D$24,$B$5:$B$24,$A30,$C$5:$C$24,E$28)</f>
        <v>24600</v>
      </c>
      <c r="F30" s="15" t="n">
        <f aca="false">SUMIFS($D$5:$D$24,$B$5:$B$24,$A30,$C$5:$C$24,F$28)</f>
        <v>26800</v>
      </c>
    </row>
    <row r="31" customFormat="false" ht="15" hidden="false" customHeight="false" outlineLevel="0" collapsed="false">
      <c r="A31" s="13" t="s">
        <v>110</v>
      </c>
      <c r="B31" s="15" t="n">
        <f aca="false">SUMIFS($D$5:$D$24,$B$5:$B$24,$A31,$C$5:$C$24,B$28)</f>
        <v>21000</v>
      </c>
      <c r="C31" s="15" t="n">
        <f aca="false">SUMIFS($D$5:$D$24,$B$5:$B$24,$A31,$C$5:$C$24,C$28)</f>
        <v>23200</v>
      </c>
      <c r="D31" s="15" t="n">
        <f aca="false">SUMIFS($D$5:$D$24,$B$5:$B$24,$A31,$C$5:$C$24,D$28)</f>
        <v>25400</v>
      </c>
      <c r="E31" s="15" t="n">
        <f aca="false">SUMIFS($D$5:$D$24,$B$5:$B$24,$A31,$C$5:$C$24,E$28)</f>
        <v>27600</v>
      </c>
      <c r="F31" s="15" t="n">
        <f aca="false">SUMIFS($D$5:$D$24,$B$5:$B$24,$A31,$C$5:$C$24,F$28)</f>
        <v>29800</v>
      </c>
    </row>
    <row r="32" customFormat="false" ht="15" hidden="false" customHeight="false" outlineLevel="0" collapsed="false">
      <c r="A32" s="13" t="s">
        <v>111</v>
      </c>
      <c r="B32" s="15" t="n">
        <f aca="false">SUMIFS($D$5:$D$24,$B$5:$B$24,$A32,$C$5:$C$24,B$28)</f>
        <v>24000</v>
      </c>
      <c r="C32" s="15" t="n">
        <f aca="false">SUMIFS($D$5:$D$24,$B$5:$B$24,$A32,$C$5:$C$24,C$28)</f>
        <v>26200</v>
      </c>
      <c r="D32" s="15" t="n">
        <f aca="false">SUMIFS($D$5:$D$24,$B$5:$B$24,$A32,$C$5:$C$24,D$28)</f>
        <v>28400</v>
      </c>
      <c r="E32" s="15" t="n">
        <f aca="false">SUMIFS($D$5:$D$24,$B$5:$B$24,$A32,$C$5:$C$24,E$28)</f>
        <v>30600</v>
      </c>
      <c r="F32" s="15" t="n">
        <f aca="false">SUMIFS($D$5:$D$24,$B$5:$B$24,$A32,$C$5:$C$24,F$28)</f>
        <v>32800</v>
      </c>
    </row>
  </sheetData>
  <mergeCells count="3">
    <mergeCell ref="A1:E1"/>
    <mergeCell ref="A2:E2"/>
    <mergeCell ref="A27:F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12"/>
    <col collapsed="false" customWidth="true" hidden="false" outlineLevel="0" max="4" min="4" style="0" width="26"/>
  </cols>
  <sheetData>
    <row r="1" customFormat="false" ht="17.35" hidden="false" customHeight="false" outlineLevel="0" collapsed="false">
      <c r="A1" s="9" t="s">
        <v>112</v>
      </c>
      <c r="B1" s="9"/>
      <c r="C1" s="9"/>
      <c r="D1" s="9"/>
    </row>
    <row r="2" customFormat="false" ht="15" hidden="false" customHeight="false" outlineLevel="0" collapsed="false">
      <c r="A2" s="10" t="s">
        <v>113</v>
      </c>
      <c r="B2" s="10"/>
      <c r="C2" s="10"/>
      <c r="D2" s="10"/>
    </row>
    <row r="4" customFormat="false" ht="15" hidden="false" customHeight="false" outlineLevel="0" collapsed="false">
      <c r="A4" s="5" t="s">
        <v>114</v>
      </c>
      <c r="B4" s="5" t="s">
        <v>115</v>
      </c>
      <c r="C4" s="5" t="s">
        <v>116</v>
      </c>
      <c r="D4" s="5" t="s">
        <v>117</v>
      </c>
    </row>
    <row r="5" customFormat="false" ht="15" hidden="false" customHeight="false" outlineLevel="0" collapsed="false">
      <c r="A5" s="6" t="s">
        <v>39</v>
      </c>
      <c r="B5" s="6" t="s">
        <v>118</v>
      </c>
      <c r="C5" s="6" t="s">
        <v>119</v>
      </c>
      <c r="D5" s="13" t="str">
        <f aca="false">PROPER(TRIM(A5))</f>
        <v>Shree Balaji Traders</v>
      </c>
    </row>
    <row r="6" customFormat="false" ht="15" hidden="false" customHeight="false" outlineLevel="0" collapsed="false">
      <c r="A6" s="6" t="s">
        <v>120</v>
      </c>
      <c r="B6" s="6" t="s">
        <v>118</v>
      </c>
      <c r="C6" s="6" t="s">
        <v>119</v>
      </c>
      <c r="D6" s="13" t="str">
        <f aca="false">PROPER(TRIM(A6))</f>
        <v>Shree Balaji Traders</v>
      </c>
    </row>
    <row r="7" customFormat="false" ht="15" hidden="false" customHeight="false" outlineLevel="0" collapsed="false">
      <c r="A7" s="6" t="s">
        <v>121</v>
      </c>
      <c r="B7" s="6" t="s">
        <v>118</v>
      </c>
      <c r="C7" s="6" t="s">
        <v>119</v>
      </c>
      <c r="D7" s="13" t="str">
        <f aca="false">PROPER(TRIM(A7))</f>
        <v>Shree Balaji Traders</v>
      </c>
    </row>
    <row r="8" customFormat="false" ht="15" hidden="false" customHeight="false" outlineLevel="0" collapsed="false">
      <c r="A8" s="6" t="s">
        <v>41</v>
      </c>
      <c r="B8" s="6" t="s">
        <v>122</v>
      </c>
      <c r="C8" s="6" t="s">
        <v>123</v>
      </c>
      <c r="D8" s="13" t="str">
        <f aca="false">PROPER(TRIM(A8))</f>
        <v>Om Enterprises</v>
      </c>
    </row>
    <row r="9" customFormat="false" ht="15" hidden="false" customHeight="false" outlineLevel="0" collapsed="false">
      <c r="A9" s="6" t="s">
        <v>124</v>
      </c>
      <c r="B9" s="6" t="s">
        <v>122</v>
      </c>
      <c r="C9" s="6" t="s">
        <v>123</v>
      </c>
      <c r="D9" s="13" t="str">
        <f aca="false">PROPER(TRIM(A9))</f>
        <v>Om Enterprises</v>
      </c>
    </row>
    <row r="10" customFormat="false" ht="15" hidden="false" customHeight="false" outlineLevel="0" collapsed="false">
      <c r="A10" s="6" t="s">
        <v>43</v>
      </c>
      <c r="B10" s="6" t="s">
        <v>125</v>
      </c>
      <c r="C10" s="6" t="s">
        <v>126</v>
      </c>
      <c r="D10" s="13" t="str">
        <f aca="false">PROPER(TRIM(A10))</f>
        <v>Kavya Stationers</v>
      </c>
    </row>
    <row r="11" customFormat="false" ht="15" hidden="false" customHeight="false" outlineLevel="0" collapsed="false">
      <c r="A11" s="6" t="s">
        <v>45</v>
      </c>
      <c r="B11" s="6" t="s">
        <v>127</v>
      </c>
      <c r="C11" s="6" t="s">
        <v>119</v>
      </c>
      <c r="D11" s="13" t="str">
        <f aca="false">PROPER(TRIM(A11))</f>
        <v>Ganesh Facility Services</v>
      </c>
    </row>
    <row r="12" customFormat="false" ht="15" hidden="false" customHeight="false" outlineLevel="0" collapsed="false">
      <c r="A12" s="6" t="s">
        <v>128</v>
      </c>
      <c r="B12" s="6" t="s">
        <v>127</v>
      </c>
      <c r="C12" s="6" t="s">
        <v>119</v>
      </c>
      <c r="D12" s="13" t="str">
        <f aca="false">PROPER(TRIM(A12))</f>
        <v>Ganesh Facility Services</v>
      </c>
    </row>
    <row r="13" customFormat="false" ht="15" hidden="false" customHeight="false" outlineLevel="0" collapsed="false">
      <c r="A13" s="6" t="s">
        <v>47</v>
      </c>
      <c r="B13" s="6" t="s">
        <v>129</v>
      </c>
      <c r="C13" s="6" t="s">
        <v>123</v>
      </c>
      <c r="D13" s="13" t="str">
        <f aca="false">PROPER(TRIM(A13))</f>
        <v>Metro Office Supplies</v>
      </c>
    </row>
    <row r="14" customFormat="false" ht="15" hidden="false" customHeight="false" outlineLevel="0" collapsed="false">
      <c r="A14" s="6" t="s">
        <v>49</v>
      </c>
      <c r="B14" s="6" t="s">
        <v>130</v>
      </c>
      <c r="C14" s="6" t="s">
        <v>119</v>
      </c>
      <c r="D14" s="13" t="str">
        <f aca="false">PROPER(TRIM(A14))</f>
        <v>Sai Caterers</v>
      </c>
    </row>
    <row r="15" customFormat="false" ht="15" hidden="false" customHeight="false" outlineLevel="0" collapsed="false">
      <c r="A15" s="6" t="s">
        <v>131</v>
      </c>
      <c r="B15" s="6" t="s">
        <v>130</v>
      </c>
      <c r="C15" s="6" t="s">
        <v>119</v>
      </c>
      <c r="D15" s="13" t="str">
        <f aca="false">PROPER(TRIM(A15))</f>
        <v>Sai Caterers</v>
      </c>
    </row>
    <row r="16" customFormat="false" ht="15" hidden="false" customHeight="false" outlineLevel="0" collapsed="false">
      <c r="A16" s="6" t="s">
        <v>51</v>
      </c>
      <c r="B16" s="6" t="s">
        <v>132</v>
      </c>
      <c r="C16" s="6" t="s">
        <v>133</v>
      </c>
      <c r="D16" s="13" t="str">
        <f aca="false">PROPER(TRIM(A16))</f>
        <v>Rajlaxmi Logistics</v>
      </c>
    </row>
    <row r="17" customFormat="false" ht="15" hidden="false" customHeight="false" outlineLevel="0" collapsed="false">
      <c r="A17" s="6" t="s">
        <v>53</v>
      </c>
      <c r="B17" s="6" t="s">
        <v>134</v>
      </c>
      <c r="C17" s="6" t="s">
        <v>119</v>
      </c>
      <c r="D17" s="13" t="str">
        <f aca="false">PROPER(TRIM(A17))</f>
        <v>Unity Housekeeping Co</v>
      </c>
    </row>
    <row r="18" customFormat="false" ht="15" hidden="false" customHeight="false" outlineLevel="0" collapsed="false">
      <c r="A18" s="6" t="s">
        <v>55</v>
      </c>
      <c r="B18" s="6" t="s">
        <v>135</v>
      </c>
      <c r="C18" s="6" t="s">
        <v>123</v>
      </c>
      <c r="D18" s="13" t="str">
        <f aca="false">PROPER(TRIM(A18))</f>
        <v>Prime Security Services</v>
      </c>
    </row>
    <row r="19" customFormat="false" ht="15" hidden="false" customHeight="false" outlineLevel="0" collapsed="false">
      <c r="A19" s="6" t="s">
        <v>136</v>
      </c>
      <c r="B19" s="6" t="s">
        <v>135</v>
      </c>
      <c r="C19" s="6" t="s">
        <v>123</v>
      </c>
      <c r="D19" s="13" t="str">
        <f aca="false">PROPER(TRIM(A19))</f>
        <v>Prime Security Services</v>
      </c>
    </row>
    <row r="20" customFormat="false" ht="15" hidden="false" customHeight="false" outlineLevel="0" collapsed="false">
      <c r="A20" s="6" t="s">
        <v>57</v>
      </c>
      <c r="B20" s="6" t="s">
        <v>137</v>
      </c>
      <c r="C20" s="6" t="s">
        <v>119</v>
      </c>
      <c r="D20" s="13" t="str">
        <f aca="false">PROPER(TRIM(A20))</f>
        <v>Anand Printers</v>
      </c>
    </row>
    <row r="22" customFormat="false" ht="27.75" hidden="false" customHeight="true" outlineLevel="0" collapsed="false">
      <c r="A22" s="8" t="s">
        <v>138</v>
      </c>
      <c r="B22" s="8"/>
      <c r="C22" s="8"/>
      <c r="D22" s="8"/>
    </row>
  </sheetData>
  <mergeCells count="3">
    <mergeCell ref="A1:D1"/>
    <mergeCell ref="A2:D2"/>
    <mergeCell ref="A22:D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13"/>
    <col collapsed="false" customWidth="true" hidden="false" outlineLevel="0" max="4" min="4" style="0" width="18"/>
    <col collapsed="false" customWidth="true" hidden="false" outlineLevel="0" max="5" min="5" style="0" width="12"/>
    <col collapsed="false" customWidth="true" hidden="false" outlineLevel="0" max="6" min="6" style="0" width="22"/>
    <col collapsed="false" customWidth="true" hidden="false" outlineLevel="0" max="7" min="7" style="0" width="13"/>
  </cols>
  <sheetData>
    <row r="1" customFormat="false" ht="17.35" hidden="false" customHeight="false" outlineLevel="0" collapsed="false">
      <c r="A1" s="9" t="s">
        <v>139</v>
      </c>
      <c r="B1" s="9"/>
      <c r="C1" s="9"/>
      <c r="D1" s="9"/>
      <c r="E1" s="9"/>
      <c r="F1" s="9"/>
    </row>
    <row r="2" customFormat="false" ht="15" hidden="false" customHeight="false" outlineLevel="0" collapsed="false">
      <c r="A2" s="10" t="s">
        <v>140</v>
      </c>
      <c r="B2" s="10"/>
      <c r="C2" s="10"/>
      <c r="D2" s="10"/>
      <c r="E2" s="10"/>
      <c r="F2" s="10"/>
    </row>
    <row r="4" customFormat="false" ht="15" hidden="false" customHeight="false" outlineLevel="0" collapsed="false">
      <c r="A4" s="14" t="s">
        <v>141</v>
      </c>
      <c r="E4" s="14" t="s">
        <v>142</v>
      </c>
    </row>
    <row r="5" customFormat="false" ht="15" hidden="false" customHeight="false" outlineLevel="0" collapsed="false">
      <c r="A5" s="5" t="s">
        <v>31</v>
      </c>
      <c r="B5" s="5" t="s">
        <v>143</v>
      </c>
      <c r="C5" s="5" t="s">
        <v>35</v>
      </c>
      <c r="D5" s="17" t="s">
        <v>144</v>
      </c>
      <c r="E5" s="5" t="s">
        <v>31</v>
      </c>
      <c r="F5" s="5" t="s">
        <v>143</v>
      </c>
      <c r="G5" s="5" t="s">
        <v>35</v>
      </c>
    </row>
    <row r="6" customFormat="false" ht="15" hidden="false" customHeight="false" outlineLevel="0" collapsed="false">
      <c r="A6" s="6" t="s">
        <v>145</v>
      </c>
      <c r="B6" s="6" t="s">
        <v>39</v>
      </c>
      <c r="C6" s="12" t="n">
        <v>24500</v>
      </c>
      <c r="D6" s="18" t="str">
        <f aca="false">IFERROR(IF(INDEX($G$6:$G$11,MATCH(A6,$E$6:$E$11,0))=C6,"Matches","AMOUNT MISMATCH"),"NOT IN STATEMENT")</f>
        <v>Matches</v>
      </c>
      <c r="E6" s="6" t="s">
        <v>145</v>
      </c>
      <c r="F6" s="6" t="s">
        <v>39</v>
      </c>
      <c r="G6" s="12" t="n">
        <v>24500</v>
      </c>
    </row>
    <row r="7" customFormat="false" ht="15" hidden="false" customHeight="false" outlineLevel="0" collapsed="false">
      <c r="A7" s="6" t="s">
        <v>146</v>
      </c>
      <c r="B7" s="6" t="s">
        <v>41</v>
      </c>
      <c r="C7" s="12" t="n">
        <v>18200</v>
      </c>
      <c r="D7" s="18" t="str">
        <f aca="false">IFERROR(IF(INDEX($G$6:$G$11,MATCH(A7,$E$6:$E$11,0))=C7,"Matches","AMOUNT MISMATCH"),"NOT IN STATEMENT")</f>
        <v>AMOUNT MISMATCH</v>
      </c>
      <c r="E7" s="6" t="s">
        <v>146</v>
      </c>
      <c r="F7" s="6" t="s">
        <v>41</v>
      </c>
      <c r="G7" s="12" t="n">
        <v>18700</v>
      </c>
    </row>
    <row r="8" customFormat="false" ht="15" hidden="false" customHeight="false" outlineLevel="0" collapsed="false">
      <c r="A8" s="6" t="s">
        <v>147</v>
      </c>
      <c r="B8" s="6" t="s">
        <v>43</v>
      </c>
      <c r="C8" s="12" t="n">
        <v>6400</v>
      </c>
      <c r="D8" s="18" t="str">
        <f aca="false">IFERROR(IF(INDEX($G$6:$G$11,MATCH(A8,$E$6:$E$11,0))=C8,"Matches","AMOUNT MISMATCH"),"NOT IN STATEMENT")</f>
        <v>Matches</v>
      </c>
      <c r="E8" s="6" t="s">
        <v>147</v>
      </c>
      <c r="F8" s="6" t="s">
        <v>43</v>
      </c>
      <c r="G8" s="12" t="n">
        <v>6400</v>
      </c>
    </row>
    <row r="9" customFormat="false" ht="15" hidden="false" customHeight="false" outlineLevel="0" collapsed="false">
      <c r="A9" s="6" t="s">
        <v>148</v>
      </c>
      <c r="B9" s="6" t="s">
        <v>45</v>
      </c>
      <c r="C9" s="12" t="n">
        <v>31000</v>
      </c>
      <c r="D9" s="18" t="str">
        <f aca="false">IFERROR(IF(INDEX($G$6:$G$11,MATCH(A9,$E$6:$E$11,0))=C9,"Matches","AMOUNT MISMATCH"),"NOT IN STATEMENT")</f>
        <v>Matches</v>
      </c>
      <c r="E9" s="6" t="s">
        <v>148</v>
      </c>
      <c r="F9" s="6" t="s">
        <v>45</v>
      </c>
      <c r="G9" s="12" t="n">
        <v>31000</v>
      </c>
    </row>
    <row r="10" customFormat="false" ht="15" hidden="false" customHeight="false" outlineLevel="0" collapsed="false">
      <c r="A10" s="6" t="s">
        <v>149</v>
      </c>
      <c r="B10" s="6" t="s">
        <v>47</v>
      </c>
      <c r="C10" s="12" t="n">
        <v>9800</v>
      </c>
      <c r="D10" s="18" t="str">
        <f aca="false">IFERROR(IF(INDEX($G$6:$G$11,MATCH(A10,$E$6:$E$11,0))=C10,"Matches","AMOUNT MISMATCH"),"NOT IN STATEMENT")</f>
        <v>NOT IN STATEMENT</v>
      </c>
      <c r="E10" s="6" t="s">
        <v>150</v>
      </c>
      <c r="F10" s="6" t="s">
        <v>49</v>
      </c>
      <c r="G10" s="12" t="n">
        <v>15600</v>
      </c>
    </row>
    <row r="11" customFormat="false" ht="15" hidden="false" customHeight="false" outlineLevel="0" collapsed="false">
      <c r="A11" s="6" t="s">
        <v>150</v>
      </c>
      <c r="B11" s="6" t="s">
        <v>49</v>
      </c>
      <c r="C11" s="12" t="n">
        <v>15600</v>
      </c>
      <c r="D11" s="18" t="str">
        <f aca="false">IFERROR(IF(INDEX($G$6:$G$11,MATCH(A11,$E$6:$E$11,0))=C11,"Matches","AMOUNT MISMATCH"),"NOT IN STATEMENT")</f>
        <v>Matches</v>
      </c>
      <c r="E11" s="6" t="s">
        <v>151</v>
      </c>
      <c r="F11" s="6" t="s">
        <v>51</v>
      </c>
      <c r="G11" s="12" t="n">
        <v>12300</v>
      </c>
    </row>
    <row r="13" customFormat="false" ht="27.75" hidden="false" customHeight="true" outlineLevel="0" collapsed="false">
      <c r="A13" s="8" t="s">
        <v>152</v>
      </c>
      <c r="B13" s="8"/>
      <c r="C13" s="8"/>
      <c r="D13" s="8"/>
      <c r="E13" s="8"/>
      <c r="F13" s="8"/>
      <c r="G13" s="8"/>
    </row>
  </sheetData>
  <mergeCells count="3">
    <mergeCell ref="A1:F1"/>
    <mergeCell ref="A2:F2"/>
    <mergeCell ref="A13:G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4"/>
  </cols>
  <sheetData>
    <row r="1" customFormat="false" ht="17.35" hidden="false" customHeight="false" outlineLevel="0" collapsed="false">
      <c r="A1" s="9" t="s">
        <v>153</v>
      </c>
      <c r="B1" s="9"/>
      <c r="C1" s="9"/>
    </row>
    <row r="2" customFormat="false" ht="15" hidden="false" customHeight="false" outlineLevel="0" collapsed="false">
      <c r="A2" s="10" t="s">
        <v>154</v>
      </c>
      <c r="B2" s="10"/>
      <c r="C2" s="10"/>
    </row>
    <row r="4" customFormat="false" ht="15" hidden="false" customHeight="false" outlineLevel="0" collapsed="false">
      <c r="A4" s="5" t="s">
        <v>91</v>
      </c>
      <c r="B4" s="5" t="s">
        <v>155</v>
      </c>
      <c r="C4" s="5" t="s">
        <v>156</v>
      </c>
    </row>
    <row r="5" customFormat="false" ht="15" hidden="false" customHeight="false" outlineLevel="0" collapsed="false">
      <c r="A5" s="6" t="s">
        <v>157</v>
      </c>
      <c r="B5" s="6" t="n">
        <v>1</v>
      </c>
      <c r="C5" s="12" t="n">
        <v>520000</v>
      </c>
    </row>
    <row r="6" customFormat="false" ht="15" hidden="false" customHeight="false" outlineLevel="0" collapsed="false">
      <c r="A6" s="6" t="s">
        <v>158</v>
      </c>
      <c r="B6" s="6" t="n">
        <v>2</v>
      </c>
      <c r="C6" s="12" t="n">
        <v>545000</v>
      </c>
    </row>
    <row r="7" customFormat="false" ht="15" hidden="false" customHeight="false" outlineLevel="0" collapsed="false">
      <c r="A7" s="6" t="s">
        <v>159</v>
      </c>
      <c r="B7" s="6" t="n">
        <v>3</v>
      </c>
      <c r="C7" s="12" t="n">
        <v>538000</v>
      </c>
    </row>
    <row r="8" customFormat="false" ht="15" hidden="false" customHeight="false" outlineLevel="0" collapsed="false">
      <c r="A8" s="6" t="s">
        <v>160</v>
      </c>
      <c r="B8" s="6" t="n">
        <v>4</v>
      </c>
      <c r="C8" s="12" t="n">
        <v>561000</v>
      </c>
    </row>
    <row r="9" customFormat="false" ht="15" hidden="false" customHeight="false" outlineLevel="0" collapsed="false">
      <c r="A9" s="6" t="s">
        <v>161</v>
      </c>
      <c r="B9" s="6" t="n">
        <v>5</v>
      </c>
      <c r="C9" s="12" t="n">
        <v>590000</v>
      </c>
    </row>
    <row r="10" customFormat="false" ht="15" hidden="false" customHeight="false" outlineLevel="0" collapsed="false">
      <c r="A10" s="6" t="s">
        <v>162</v>
      </c>
      <c r="B10" s="6" t="n">
        <v>6</v>
      </c>
      <c r="C10" s="12" t="n">
        <v>605000</v>
      </c>
    </row>
    <row r="11" customFormat="false" ht="15" hidden="false" customHeight="false" outlineLevel="0" collapsed="false">
      <c r="A11" s="6" t="s">
        <v>96</v>
      </c>
      <c r="B11" s="6" t="n">
        <v>7</v>
      </c>
      <c r="C11" s="12" t="n">
        <v>598000</v>
      </c>
    </row>
    <row r="12" customFormat="false" ht="15" hidden="false" customHeight="false" outlineLevel="0" collapsed="false">
      <c r="A12" s="6" t="s">
        <v>97</v>
      </c>
      <c r="B12" s="6" t="n">
        <v>8</v>
      </c>
      <c r="C12" s="12" t="n">
        <v>622000</v>
      </c>
    </row>
    <row r="13" customFormat="false" ht="15" hidden="false" customHeight="false" outlineLevel="0" collapsed="false">
      <c r="A13" s="6" t="s">
        <v>98</v>
      </c>
      <c r="B13" s="6" t="n">
        <v>9</v>
      </c>
      <c r="C13" s="12" t="n">
        <v>640000</v>
      </c>
    </row>
    <row r="14" customFormat="false" ht="15" hidden="false" customHeight="false" outlineLevel="0" collapsed="false">
      <c r="A14" s="6" t="s">
        <v>99</v>
      </c>
      <c r="B14" s="6" t="n">
        <v>10</v>
      </c>
      <c r="C14" s="12" t="n">
        <v>655000</v>
      </c>
    </row>
    <row r="15" customFormat="false" ht="15" hidden="false" customHeight="false" outlineLevel="0" collapsed="false">
      <c r="A15" s="6" t="s">
        <v>100</v>
      </c>
      <c r="B15" s="6" t="n">
        <v>11</v>
      </c>
      <c r="C15" s="12" t="n">
        <v>671000</v>
      </c>
    </row>
    <row r="16" customFormat="false" ht="15" hidden="false" customHeight="false" outlineLevel="0" collapsed="false">
      <c r="A16" s="6" t="s">
        <v>101</v>
      </c>
      <c r="B16" s="6" t="n">
        <v>12</v>
      </c>
      <c r="C16" s="12" t="n">
        <v>690000</v>
      </c>
    </row>
    <row r="18" customFormat="false" ht="15" hidden="false" customHeight="false" outlineLevel="0" collapsed="false">
      <c r="A18" s="19" t="s">
        <v>163</v>
      </c>
      <c r="B18" s="19"/>
      <c r="C18" s="20" t="n">
        <f aca="false">FORECAST(13,C5:C16,B5:B16)</f>
        <v>700803.03030303</v>
      </c>
    </row>
    <row r="20" customFormat="false" ht="39.75" hidden="false" customHeight="true" outlineLevel="0" collapsed="false">
      <c r="A20" s="8" t="s">
        <v>164</v>
      </c>
      <c r="B20" s="8"/>
      <c r="C20" s="8"/>
      <c r="D20" s="8"/>
      <c r="E20" s="8"/>
    </row>
  </sheetData>
  <mergeCells count="4">
    <mergeCell ref="A1:C1"/>
    <mergeCell ref="A2:C2"/>
    <mergeCell ref="A18:B18"/>
    <mergeCell ref="A20:E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2026-09-07T07:15:01Z</dcterms:created>
  <dc:creator>openpyxl</dc:creator>
  <dc:description/>
  <dc:language>en-US</dc:language>
  <cp:lastModifiedBy/>
  <dcterms:modified xsi:type="dcterms:W3CDTF">2026-09-07T07:15:03Z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